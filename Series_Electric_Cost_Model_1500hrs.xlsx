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ylan\Desktop\Senior design  project\Lifecycle\LCC_Model\"/>
    </mc:Choice>
  </mc:AlternateContent>
  <xr:revisionPtr revIDLastSave="0" documentId="13_ncr:1_{C1EAF3F4-D6C8-4225-9E88-36F604F260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ameters" sheetId="1" r:id="rId1"/>
    <sheet name="Lookup_Crews" sheetId="2" r:id="rId2"/>
    <sheet name="Lookup_Spe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5" i="1"/>
  <c r="B58" i="1"/>
  <c r="B57" i="1"/>
</calcChain>
</file>

<file path=xl/sharedStrings.xml><?xml version="1.0" encoding="utf-8"?>
<sst xmlns="http://schemas.openxmlformats.org/spreadsheetml/2006/main" count="113" uniqueCount="94">
  <si>
    <t>Aircraft Cost Model Parameters</t>
  </si>
  <si>
    <t>Training Parameters</t>
  </si>
  <si>
    <t>Initial_Pilot_Training</t>
  </si>
  <si>
    <t>Cost per pilot ($)</t>
  </si>
  <si>
    <t>Number_of_Pilots</t>
  </si>
  <si>
    <t>Number of pilots</t>
  </si>
  <si>
    <t>Initial_Maintenance_Training</t>
  </si>
  <si>
    <t>Cost ($)</t>
  </si>
  <si>
    <t>Recurrent_Maintenance_Training</t>
  </si>
  <si>
    <t>Recurrent_Pilot_Training</t>
  </si>
  <si>
    <t>Flight Operations</t>
  </si>
  <si>
    <t>Flight_Hours_per_Year</t>
  </si>
  <si>
    <t>Annual flight hours</t>
  </si>
  <si>
    <t>Mission_Stage_Length</t>
  </si>
  <si>
    <t>Miles</t>
  </si>
  <si>
    <t>Financial Parameters</t>
  </si>
  <si>
    <t>Interest_Rate</t>
  </si>
  <si>
    <t>Annual interest rate (decimal)</t>
  </si>
  <si>
    <t>Life_Cycle_Time</t>
  </si>
  <si>
    <t>Years</t>
  </si>
  <si>
    <t>Profit_Margin</t>
  </si>
  <si>
    <t>Percentage</t>
  </si>
  <si>
    <t>Landing Operations</t>
  </si>
  <si>
    <t>Landing_Fee_per_Landing</t>
  </si>
  <si>
    <t>$ per landing</t>
  </si>
  <si>
    <t>Landing_Site_Support_Hourly_Cost</t>
  </si>
  <si>
    <t>$ per hour</t>
  </si>
  <si>
    <t>Fixed Costs</t>
  </si>
  <si>
    <t>Maintenance_Software_Programs</t>
  </si>
  <si>
    <t>Annual cost ($)</t>
  </si>
  <si>
    <t>Miscellaneous_Service</t>
  </si>
  <si>
    <t>Property_Tax</t>
  </si>
  <si>
    <t>Hangar_and_Office_Lease_Space</t>
  </si>
  <si>
    <t>Miscellaneous_Office_Expense</t>
  </si>
  <si>
    <t>Hull_Insurance_Rate</t>
  </si>
  <si>
    <t>Rate (decimal)</t>
  </si>
  <si>
    <t>Liability_Insurance_Rate</t>
  </si>
  <si>
    <t>Aircraft Purchase</t>
  </si>
  <si>
    <t>Aircraft_Baseline_Cost</t>
  </si>
  <si>
    <t>Base cost ($)</t>
  </si>
  <si>
    <t>Automation_Cost_Base</t>
  </si>
  <si>
    <t>Automation cost ($)</t>
  </si>
  <si>
    <t>Percent_Resale_Value</t>
  </si>
  <si>
    <t>Resale value (decimal)</t>
  </si>
  <si>
    <t>Maintenance</t>
  </si>
  <si>
    <t>Engine_Overhaul_Cost</t>
  </si>
  <si>
    <t>Cost per engine ($)</t>
  </si>
  <si>
    <t>Number_of_Engines</t>
  </si>
  <si>
    <t>Number of engines</t>
  </si>
  <si>
    <t>Engine_Overhaul_Interval</t>
  </si>
  <si>
    <t>Flight hours</t>
  </si>
  <si>
    <t>MidLife_Engine_Section_Inspection_Cost</t>
  </si>
  <si>
    <t>Modernisation_and_Upgrades</t>
  </si>
  <si>
    <t>Modernisation_Time_Interval</t>
  </si>
  <si>
    <t>Aircraft_Paint</t>
  </si>
  <si>
    <t>Paint_and_Refurbishing_Interval</t>
  </si>
  <si>
    <t>Interior_Refurbishing</t>
  </si>
  <si>
    <t>Battery_Cost</t>
  </si>
  <si>
    <t>Replacement cost ($)</t>
  </si>
  <si>
    <t>Battery_Replacement_Interval</t>
  </si>
  <si>
    <t>Variable Costs</t>
  </si>
  <si>
    <t>Baseline_MaintHours_per_FH</t>
  </si>
  <si>
    <t>Maint hours per flight hour</t>
  </si>
  <si>
    <t>Maintenance_Labor_Expense_per_Hour</t>
  </si>
  <si>
    <t>Miscellaneous_Trip_Expenses</t>
  </si>
  <si>
    <t>Schedule_Parts_Expense</t>
  </si>
  <si>
    <t>Personnel</t>
  </si>
  <si>
    <t>Annual_Pilot_Salary</t>
  </si>
  <si>
    <t>$ per year</t>
  </si>
  <si>
    <t>Percent_Salaries_to_Benefits</t>
  </si>
  <si>
    <t>Benefits rate (decimal)</t>
  </si>
  <si>
    <t>Loaded_Salary_of_Staff_Member</t>
  </si>
  <si>
    <t>Staff_members_per_Vehicle</t>
  </si>
  <si>
    <t>Number of staff</t>
  </si>
  <si>
    <t>Revenue Parameters</t>
  </si>
  <si>
    <t>Aircraft_PAX_Seats</t>
  </si>
  <si>
    <t>Number of seats</t>
  </si>
  <si>
    <t>Percent_Repositioning_Flight_Hours</t>
  </si>
  <si>
    <t>Passengers_per_Flight</t>
  </si>
  <si>
    <t>Average passengers</t>
  </si>
  <si>
    <t>Flight Hours</t>
  </si>
  <si>
    <t>Crew Factor</t>
  </si>
  <si>
    <t>Stage Length (miles)</t>
  </si>
  <si>
    <t>Speed (mph)</t>
  </si>
  <si>
    <t>tg = 250000/ 5000 hours</t>
  </si>
  <si>
    <t>Finance_Percent</t>
  </si>
  <si>
    <t>Gallons_per_Hour</t>
  </si>
  <si>
    <t>Fuel burn rate</t>
  </si>
  <si>
    <t>Propeller_Allowance</t>
  </si>
  <si>
    <t>Price_per_Gallon</t>
  </si>
  <si>
    <t>50/hr for tg and 10/hr for electric engines</t>
  </si>
  <si>
    <t>Percent of aircraft that was financed (decimal, 1= fully financed)</t>
  </si>
  <si>
    <t>Per hour ($)</t>
  </si>
  <si>
    <t>Jet 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</si>
</sst>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sz val="11"/>
      <color theme="3"/>
      <name val="Calibri"/>
      <family val="2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A43" workbookViewId="0">
      <selection activeCell="D53" sqref="D53"/>
    </sheetView>
  </sheetViews>
  <sheetFormatPr defaultRowHeight="14.5" x14ac:dyDescent="0.35"/>
  <cols>
    <col min="1" max="1" width="35" customWidth="1"/>
    <col min="2" max="2" width="15" customWidth="1"/>
    <col min="3" max="3" width="40" customWidth="1"/>
  </cols>
  <sheetData>
    <row r="1" spans="1:3" ht="18.5" x14ac:dyDescent="0.45">
      <c r="A1" s="5" t="s">
        <v>0</v>
      </c>
      <c r="B1" s="6"/>
      <c r="C1" s="6"/>
    </row>
    <row r="3" spans="1:3" x14ac:dyDescent="0.35">
      <c r="A3" s="4" t="s">
        <v>1</v>
      </c>
    </row>
    <row r="4" spans="1:3" x14ac:dyDescent="0.35">
      <c r="A4" t="s">
        <v>2</v>
      </c>
      <c r="B4" s="2">
        <v>10000</v>
      </c>
      <c r="C4" t="s">
        <v>3</v>
      </c>
    </row>
    <row r="5" spans="1:3" x14ac:dyDescent="0.35">
      <c r="A5" t="s">
        <v>4</v>
      </c>
      <c r="B5" s="2">
        <v>1</v>
      </c>
      <c r="C5" t="s">
        <v>5</v>
      </c>
    </row>
    <row r="6" spans="1:3" x14ac:dyDescent="0.35">
      <c r="A6" t="s">
        <v>6</v>
      </c>
      <c r="B6" s="2">
        <v>5000</v>
      </c>
      <c r="C6" t="s">
        <v>7</v>
      </c>
    </row>
    <row r="7" spans="1:3" x14ac:dyDescent="0.35">
      <c r="A7" t="s">
        <v>8</v>
      </c>
      <c r="B7" s="2">
        <v>10000</v>
      </c>
      <c r="C7" t="s">
        <v>7</v>
      </c>
    </row>
    <row r="8" spans="1:3" x14ac:dyDescent="0.35">
      <c r="A8" t="s">
        <v>9</v>
      </c>
      <c r="B8" s="2">
        <v>15000</v>
      </c>
      <c r="C8" t="s">
        <v>7</v>
      </c>
    </row>
    <row r="9" spans="1:3" x14ac:dyDescent="0.35">
      <c r="B9" s="3"/>
    </row>
    <row r="10" spans="1:3" x14ac:dyDescent="0.35">
      <c r="A10" s="4" t="s">
        <v>10</v>
      </c>
      <c r="B10" s="3"/>
    </row>
    <row r="11" spans="1:3" x14ac:dyDescent="0.35">
      <c r="A11" t="s">
        <v>11</v>
      </c>
      <c r="B11" s="2">
        <v>1500</v>
      </c>
      <c r="C11" t="s">
        <v>12</v>
      </c>
    </row>
    <row r="12" spans="1:3" x14ac:dyDescent="0.35">
      <c r="A12" t="s">
        <v>13</v>
      </c>
      <c r="B12" s="2">
        <v>300</v>
      </c>
      <c r="C12" t="s">
        <v>14</v>
      </c>
    </row>
    <row r="13" spans="1:3" x14ac:dyDescent="0.35">
      <c r="B13" s="3"/>
    </row>
    <row r="14" spans="1:3" x14ac:dyDescent="0.35">
      <c r="A14" s="4" t="s">
        <v>15</v>
      </c>
      <c r="B14" s="3"/>
    </row>
    <row r="15" spans="1:3" x14ac:dyDescent="0.35">
      <c r="A15" t="s">
        <v>16</v>
      </c>
      <c r="B15" s="2">
        <v>0.06</v>
      </c>
      <c r="C15" t="s">
        <v>17</v>
      </c>
    </row>
    <row r="16" spans="1:3" x14ac:dyDescent="0.35">
      <c r="A16" t="s">
        <v>18</v>
      </c>
      <c r="B16" s="2">
        <v>20</v>
      </c>
      <c r="C16" t="s">
        <v>19</v>
      </c>
    </row>
    <row r="17" spans="1:3" x14ac:dyDescent="0.35">
      <c r="A17" t="s">
        <v>20</v>
      </c>
      <c r="B17" s="2">
        <v>10</v>
      </c>
      <c r="C17" t="s">
        <v>21</v>
      </c>
    </row>
    <row r="18" spans="1:3" x14ac:dyDescent="0.35">
      <c r="B18" s="3"/>
    </row>
    <row r="19" spans="1:3" x14ac:dyDescent="0.35">
      <c r="A19" s="4" t="s">
        <v>22</v>
      </c>
      <c r="B19" s="3"/>
    </row>
    <row r="20" spans="1:3" x14ac:dyDescent="0.35">
      <c r="A20" t="s">
        <v>23</v>
      </c>
      <c r="B20" s="2">
        <v>15</v>
      </c>
      <c r="C20" t="s">
        <v>24</v>
      </c>
    </row>
    <row r="21" spans="1:3" x14ac:dyDescent="0.35">
      <c r="A21" t="s">
        <v>25</v>
      </c>
      <c r="B21" s="2">
        <v>9</v>
      </c>
      <c r="C21" t="s">
        <v>26</v>
      </c>
    </row>
    <row r="22" spans="1:3" x14ac:dyDescent="0.35">
      <c r="B22" s="3"/>
    </row>
    <row r="23" spans="1:3" x14ac:dyDescent="0.35">
      <c r="A23" s="4" t="s">
        <v>27</v>
      </c>
      <c r="B23" s="3"/>
    </row>
    <row r="24" spans="1:3" x14ac:dyDescent="0.35">
      <c r="A24" t="s">
        <v>28</v>
      </c>
      <c r="B24" s="2">
        <v>10000</v>
      </c>
      <c r="C24" t="s">
        <v>29</v>
      </c>
    </row>
    <row r="25" spans="1:3" x14ac:dyDescent="0.35">
      <c r="A25" t="s">
        <v>30</v>
      </c>
      <c r="B25" s="2">
        <v>1000</v>
      </c>
      <c r="C25" t="s">
        <v>29</v>
      </c>
    </row>
    <row r="26" spans="1:3" x14ac:dyDescent="0.35">
      <c r="A26" t="s">
        <v>31</v>
      </c>
      <c r="B26" s="2">
        <v>2500</v>
      </c>
      <c r="C26" t="s">
        <v>29</v>
      </c>
    </row>
    <row r="27" spans="1:3" x14ac:dyDescent="0.35">
      <c r="A27" t="s">
        <v>32</v>
      </c>
      <c r="B27" s="2">
        <v>41800</v>
      </c>
      <c r="C27" t="s">
        <v>29</v>
      </c>
    </row>
    <row r="28" spans="1:3" x14ac:dyDescent="0.35">
      <c r="A28" t="s">
        <v>33</v>
      </c>
      <c r="B28" s="2">
        <v>1080</v>
      </c>
      <c r="C28" t="s">
        <v>29</v>
      </c>
    </row>
    <row r="29" spans="1:3" x14ac:dyDescent="0.35">
      <c r="A29" t="s">
        <v>34</v>
      </c>
      <c r="B29" s="3">
        <v>5.4000000000000003E-3</v>
      </c>
      <c r="C29" t="s">
        <v>35</v>
      </c>
    </row>
    <row r="30" spans="1:3" x14ac:dyDescent="0.35">
      <c r="A30" t="s">
        <v>36</v>
      </c>
      <c r="B30" s="3">
        <v>1.57E-3</v>
      </c>
      <c r="C30" t="s">
        <v>35</v>
      </c>
    </row>
    <row r="31" spans="1:3" x14ac:dyDescent="0.35">
      <c r="B31" s="3"/>
    </row>
    <row r="32" spans="1:3" x14ac:dyDescent="0.35">
      <c r="A32" s="4" t="s">
        <v>37</v>
      </c>
      <c r="B32" s="3"/>
    </row>
    <row r="33" spans="1:5" x14ac:dyDescent="0.35">
      <c r="A33" t="s">
        <v>38</v>
      </c>
      <c r="B33" s="2">
        <v>4000000</v>
      </c>
      <c r="C33" t="s">
        <v>39</v>
      </c>
    </row>
    <row r="34" spans="1:5" x14ac:dyDescent="0.35">
      <c r="A34" t="s">
        <v>40</v>
      </c>
      <c r="B34" s="2">
        <v>138000</v>
      </c>
      <c r="C34" t="s">
        <v>41</v>
      </c>
    </row>
    <row r="35" spans="1:5" x14ac:dyDescent="0.35">
      <c r="A35" t="s">
        <v>42</v>
      </c>
      <c r="B35" s="2">
        <v>0.1</v>
      </c>
      <c r="C35" t="s">
        <v>43</v>
      </c>
    </row>
    <row r="36" spans="1:5" x14ac:dyDescent="0.35">
      <c r="A36" t="s">
        <v>85</v>
      </c>
      <c r="B36" s="3">
        <v>0</v>
      </c>
      <c r="C36" t="s">
        <v>91</v>
      </c>
    </row>
    <row r="37" spans="1:5" x14ac:dyDescent="0.35">
      <c r="B37" s="3"/>
    </row>
    <row r="38" spans="1:5" x14ac:dyDescent="0.35">
      <c r="A38" s="4" t="s">
        <v>44</v>
      </c>
      <c r="B38" s="3"/>
    </row>
    <row r="39" spans="1:5" x14ac:dyDescent="0.35">
      <c r="A39" t="s">
        <v>45</v>
      </c>
      <c r="B39" s="2">
        <v>7.5</v>
      </c>
      <c r="C39" t="s">
        <v>46</v>
      </c>
      <c r="E39" t="s">
        <v>90</v>
      </c>
    </row>
    <row r="40" spans="1:5" x14ac:dyDescent="0.35">
      <c r="A40" t="s">
        <v>47</v>
      </c>
      <c r="B40" s="2">
        <v>8</v>
      </c>
      <c r="C40" t="s">
        <v>48</v>
      </c>
      <c r="E40" t="s">
        <v>84</v>
      </c>
    </row>
    <row r="41" spans="1:5" x14ac:dyDescent="0.35">
      <c r="A41" t="s">
        <v>49</v>
      </c>
      <c r="B41" s="3">
        <v>1</v>
      </c>
      <c r="C41" t="s">
        <v>50</v>
      </c>
    </row>
    <row r="42" spans="1:5" x14ac:dyDescent="0.35">
      <c r="A42" t="s">
        <v>88</v>
      </c>
      <c r="B42" s="2">
        <v>20</v>
      </c>
      <c r="C42" t="s">
        <v>92</v>
      </c>
    </row>
    <row r="43" spans="1:5" x14ac:dyDescent="0.35">
      <c r="A43" t="s">
        <v>51</v>
      </c>
      <c r="B43" s="2">
        <v>40</v>
      </c>
      <c r="C43" t="s">
        <v>92</v>
      </c>
    </row>
    <row r="44" spans="1:5" x14ac:dyDescent="0.35">
      <c r="A44" t="s">
        <v>52</v>
      </c>
      <c r="B44" s="2">
        <v>15000</v>
      </c>
      <c r="C44" t="s">
        <v>7</v>
      </c>
    </row>
    <row r="45" spans="1:5" x14ac:dyDescent="0.35">
      <c r="A45" t="s">
        <v>53</v>
      </c>
      <c r="B45" s="2">
        <v>700</v>
      </c>
      <c r="C45" t="s">
        <v>50</v>
      </c>
    </row>
    <row r="46" spans="1:5" x14ac:dyDescent="0.35">
      <c r="A46" t="s">
        <v>54</v>
      </c>
      <c r="B46" s="2">
        <v>20000</v>
      </c>
      <c r="C46" t="s">
        <v>7</v>
      </c>
    </row>
    <row r="47" spans="1:5" x14ac:dyDescent="0.35">
      <c r="A47" t="s">
        <v>55</v>
      </c>
      <c r="B47" s="2">
        <v>700</v>
      </c>
      <c r="C47" t="s">
        <v>50</v>
      </c>
    </row>
    <row r="48" spans="1:5" x14ac:dyDescent="0.35">
      <c r="A48" t="s">
        <v>56</v>
      </c>
      <c r="B48" s="2">
        <v>15000</v>
      </c>
      <c r="C48" t="s">
        <v>7</v>
      </c>
    </row>
    <row r="49" spans="1:3" x14ac:dyDescent="0.35">
      <c r="A49" t="s">
        <v>57</v>
      </c>
      <c r="B49" s="2">
        <v>250000</v>
      </c>
      <c r="C49" t="s">
        <v>58</v>
      </c>
    </row>
    <row r="50" spans="1:3" x14ac:dyDescent="0.35">
      <c r="A50" t="s">
        <v>59</v>
      </c>
      <c r="B50" s="2">
        <v>3000</v>
      </c>
      <c r="C50" t="s">
        <v>50</v>
      </c>
    </row>
    <row r="51" spans="1:3" x14ac:dyDescent="0.35">
      <c r="B51" s="3"/>
    </row>
    <row r="52" spans="1:3" x14ac:dyDescent="0.35">
      <c r="A52" s="4" t="s">
        <v>60</v>
      </c>
      <c r="B52" s="3"/>
    </row>
    <row r="53" spans="1:3" x14ac:dyDescent="0.35">
      <c r="A53" t="s">
        <v>89</v>
      </c>
      <c r="B53" s="2">
        <v>5.69</v>
      </c>
      <c r="C53" t="s">
        <v>93</v>
      </c>
    </row>
    <row r="54" spans="1:3" x14ac:dyDescent="0.35">
      <c r="A54" t="s">
        <v>86</v>
      </c>
      <c r="B54" s="3">
        <f xml:space="preserve"> 64 * 0.5</f>
        <v>32</v>
      </c>
      <c r="C54" t="s">
        <v>87</v>
      </c>
    </row>
    <row r="55" spans="1:3" x14ac:dyDescent="0.35">
      <c r="A55" t="s">
        <v>61</v>
      </c>
      <c r="B55" s="2">
        <f xml:space="preserve"> 0.95 * (1-0.14)</f>
        <v>0.81699999999999995</v>
      </c>
      <c r="C55" t="s">
        <v>62</v>
      </c>
    </row>
    <row r="56" spans="1:3" x14ac:dyDescent="0.35">
      <c r="A56" t="s">
        <v>63</v>
      </c>
      <c r="B56" s="2">
        <v>147</v>
      </c>
      <c r="C56" t="s">
        <v>92</v>
      </c>
    </row>
    <row r="57" spans="1:3" x14ac:dyDescent="0.35">
      <c r="A57" t="s">
        <v>64</v>
      </c>
      <c r="B57" s="3">
        <f>81 *0.8</f>
        <v>64.8</v>
      </c>
      <c r="C57" t="s">
        <v>92</v>
      </c>
    </row>
    <row r="58" spans="1:3" x14ac:dyDescent="0.35">
      <c r="A58" t="s">
        <v>65</v>
      </c>
      <c r="B58" s="3">
        <f xml:space="preserve"> 96*0.8</f>
        <v>76.800000000000011</v>
      </c>
      <c r="C58" t="s">
        <v>92</v>
      </c>
    </row>
    <row r="59" spans="1:3" x14ac:dyDescent="0.35">
      <c r="B59" s="3"/>
    </row>
    <row r="60" spans="1:3" x14ac:dyDescent="0.35">
      <c r="A60" s="4" t="s">
        <v>66</v>
      </c>
      <c r="B60" s="3"/>
    </row>
    <row r="61" spans="1:3" x14ac:dyDescent="0.35">
      <c r="A61" t="s">
        <v>67</v>
      </c>
      <c r="B61" s="3">
        <v>120000</v>
      </c>
      <c r="C61" t="s">
        <v>68</v>
      </c>
    </row>
    <row r="62" spans="1:3" x14ac:dyDescent="0.35">
      <c r="A62" t="s">
        <v>69</v>
      </c>
      <c r="B62" s="3">
        <v>0.25</v>
      </c>
      <c r="C62" t="s">
        <v>70</v>
      </c>
    </row>
    <row r="63" spans="1:3" x14ac:dyDescent="0.35">
      <c r="A63" t="s">
        <v>71</v>
      </c>
      <c r="B63" s="3">
        <v>50000</v>
      </c>
      <c r="C63" t="s">
        <v>68</v>
      </c>
    </row>
    <row r="64" spans="1:3" x14ac:dyDescent="0.35">
      <c r="A64" t="s">
        <v>72</v>
      </c>
      <c r="B64" s="3">
        <v>0</v>
      </c>
      <c r="C64" t="s">
        <v>73</v>
      </c>
    </row>
    <row r="65" spans="1:3" x14ac:dyDescent="0.35">
      <c r="B65" s="3"/>
    </row>
    <row r="66" spans="1:3" x14ac:dyDescent="0.35">
      <c r="A66" s="4" t="s">
        <v>74</v>
      </c>
      <c r="B66" s="3"/>
    </row>
    <row r="67" spans="1:3" x14ac:dyDescent="0.35">
      <c r="A67" t="s">
        <v>75</v>
      </c>
      <c r="B67" s="2">
        <v>9</v>
      </c>
      <c r="C67" t="s">
        <v>76</v>
      </c>
    </row>
    <row r="68" spans="1:3" x14ac:dyDescent="0.35">
      <c r="A68" t="s">
        <v>77</v>
      </c>
      <c r="B68" s="2">
        <v>10</v>
      </c>
      <c r="C68" t="s">
        <v>21</v>
      </c>
    </row>
    <row r="69" spans="1:3" x14ac:dyDescent="0.35">
      <c r="A69" t="s">
        <v>78</v>
      </c>
      <c r="B69" s="2">
        <v>4.5</v>
      </c>
      <c r="C69" t="s">
        <v>79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A37" sqref="A37"/>
    </sheetView>
  </sheetViews>
  <sheetFormatPr defaultRowHeight="14.5" x14ac:dyDescent="0.35"/>
  <cols>
    <col min="1" max="2" width="20" customWidth="1"/>
  </cols>
  <sheetData>
    <row r="1" spans="1:2" ht="15.5" x14ac:dyDescent="0.35">
      <c r="A1" s="7"/>
      <c r="B1" s="6"/>
    </row>
    <row r="3" spans="1:2" ht="15.5" x14ac:dyDescent="0.35">
      <c r="A3" s="1" t="s">
        <v>80</v>
      </c>
      <c r="B3" s="1" t="s">
        <v>81</v>
      </c>
    </row>
    <row r="4" spans="1:2" x14ac:dyDescent="0.35">
      <c r="A4" s="2">
        <v>0</v>
      </c>
      <c r="B4" s="2">
        <v>1.125</v>
      </c>
    </row>
    <row r="5" spans="1:2" x14ac:dyDescent="0.35">
      <c r="A5" s="2">
        <v>300</v>
      </c>
      <c r="B5" s="2">
        <v>1.125</v>
      </c>
    </row>
    <row r="6" spans="1:2" x14ac:dyDescent="0.35">
      <c r="A6" s="2">
        <v>600</v>
      </c>
      <c r="B6" s="2">
        <v>1.125</v>
      </c>
    </row>
    <row r="7" spans="1:2" x14ac:dyDescent="0.35">
      <c r="A7" s="2">
        <v>900</v>
      </c>
      <c r="B7" s="2">
        <v>1.125</v>
      </c>
    </row>
    <row r="8" spans="1:2" x14ac:dyDescent="0.35">
      <c r="A8" s="2">
        <v>1200</v>
      </c>
      <c r="B8" s="2">
        <v>1.125</v>
      </c>
    </row>
    <row r="9" spans="1:2" x14ac:dyDescent="0.35">
      <c r="A9" s="2">
        <v>1500</v>
      </c>
      <c r="B9" s="2">
        <v>1.125</v>
      </c>
    </row>
    <row r="10" spans="1:2" x14ac:dyDescent="0.35">
      <c r="A10" s="2">
        <v>1800</v>
      </c>
      <c r="B10" s="2">
        <v>1.125</v>
      </c>
    </row>
    <row r="11" spans="1:2" x14ac:dyDescent="0.35">
      <c r="A11" s="2">
        <v>2100</v>
      </c>
      <c r="B11" s="2">
        <v>1.125</v>
      </c>
    </row>
    <row r="12" spans="1:2" x14ac:dyDescent="0.35">
      <c r="A12" s="2">
        <v>2400</v>
      </c>
      <c r="B12" s="2">
        <v>2.25</v>
      </c>
    </row>
    <row r="13" spans="1:2" x14ac:dyDescent="0.35">
      <c r="A13" s="2">
        <v>2700</v>
      </c>
      <c r="B13" s="2">
        <v>2.25</v>
      </c>
    </row>
    <row r="14" spans="1:2" x14ac:dyDescent="0.35">
      <c r="A14" s="2">
        <v>3000</v>
      </c>
      <c r="B14" s="2">
        <v>2.25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A37" sqref="A37"/>
    </sheetView>
  </sheetViews>
  <sheetFormatPr defaultRowHeight="14.5" x14ac:dyDescent="0.35"/>
  <cols>
    <col min="1" max="1" width="25" customWidth="1"/>
    <col min="2" max="2" width="20" customWidth="1"/>
  </cols>
  <sheetData>
    <row r="1" spans="1:2" ht="15.5" x14ac:dyDescent="0.35">
      <c r="A1" s="7"/>
      <c r="B1" s="6"/>
    </row>
    <row r="3" spans="1:2" ht="15.5" x14ac:dyDescent="0.35">
      <c r="A3" s="1" t="s">
        <v>82</v>
      </c>
      <c r="B3" s="1" t="s">
        <v>83</v>
      </c>
    </row>
    <row r="4" spans="1:2" x14ac:dyDescent="0.35">
      <c r="A4" s="3">
        <v>0</v>
      </c>
      <c r="B4" s="3">
        <v>125</v>
      </c>
    </row>
    <row r="5" spans="1:2" x14ac:dyDescent="0.35">
      <c r="A5" s="3">
        <v>50</v>
      </c>
      <c r="B5" s="3">
        <v>150</v>
      </c>
    </row>
    <row r="6" spans="1:2" x14ac:dyDescent="0.35">
      <c r="A6" s="3">
        <v>100</v>
      </c>
      <c r="B6" s="3">
        <v>200</v>
      </c>
    </row>
    <row r="7" spans="1:2" x14ac:dyDescent="0.35">
      <c r="A7" s="3">
        <v>200</v>
      </c>
      <c r="B7" s="3">
        <v>200</v>
      </c>
    </row>
    <row r="8" spans="1:2" x14ac:dyDescent="0.35">
      <c r="A8" s="3">
        <v>300</v>
      </c>
      <c r="B8" s="3">
        <v>200</v>
      </c>
    </row>
    <row r="9" spans="1:2" x14ac:dyDescent="0.35">
      <c r="A9" s="3">
        <v>400</v>
      </c>
      <c r="B9" s="3">
        <v>200</v>
      </c>
    </row>
    <row r="10" spans="1:2" x14ac:dyDescent="0.35">
      <c r="A10" s="3">
        <v>500</v>
      </c>
      <c r="B10" s="3">
        <v>200</v>
      </c>
    </row>
    <row r="11" spans="1:2" x14ac:dyDescent="0.35">
      <c r="A11" s="3">
        <v>600</v>
      </c>
      <c r="B11" s="3">
        <v>200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Lookup_Crews</vt:lpstr>
      <vt:lpstr>Lookup_Speed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Hogge, Dylan</cp:lastModifiedBy>
  <dcterms:created xsi:type="dcterms:W3CDTF">2025-10-25T18:22:46Z</dcterms:created>
  <dcterms:modified xsi:type="dcterms:W3CDTF">2025-11-13T05:09:54Z</dcterms:modified>
</cp:coreProperties>
</file>